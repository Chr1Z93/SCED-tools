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christian.puls\Downloads\"/>
    </mc:Choice>
  </mc:AlternateContent>
  <xr:revisionPtr revIDLastSave="0" documentId="13_ncr:1_{9D742908-DCCE-4DE2-BF48-6FF75E365246}" xr6:coauthVersionLast="47" xr6:coauthVersionMax="47" xr10:uidLastSave="{00000000-0000-0000-0000-000000000000}"/>
  <bookViews>
    <workbookView xWindow="-21645" yWindow="240" windowWidth="21510" windowHeight="20625" xr2:uid="{F663F3E8-C69C-4997-AB24-1472489A4337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F3" i="1"/>
  <c r="E3" i="1"/>
  <c r="H3" i="1" l="1" a="1"/>
  <c r="H3" i="1" s="1"/>
  <c r="L3" i="1" l="1" a="1"/>
  <c r="L3" i="1" s="1"/>
  <c r="L42" i="1" a="1"/>
  <c r="L42" i="1" s="1"/>
  <c r="L35" i="1" a="1"/>
  <c r="L35" i="1" s="1"/>
  <c r="L37" i="1" a="1"/>
  <c r="L37" i="1" s="1"/>
  <c r="L21" i="1" a="1"/>
  <c r="L21" i="1" s="1"/>
  <c r="L5" i="1" a="1"/>
  <c r="L5" i="1" s="1"/>
  <c r="L14" i="1" a="1"/>
  <c r="L14" i="1" s="1"/>
  <c r="L26" i="1" a="1"/>
  <c r="L26" i="1" s="1"/>
  <c r="L10" i="1" a="1"/>
  <c r="L10" i="1" s="1"/>
  <c r="L44" i="1" a="1"/>
  <c r="L44" i="1" s="1"/>
  <c r="L28" i="1" a="1"/>
  <c r="L28" i="1" s="1"/>
  <c r="L12" i="1" a="1"/>
  <c r="L12" i="1" s="1"/>
  <c r="L27" i="1" a="1"/>
  <c r="L27" i="1" s="1"/>
  <c r="L48" i="1" a="1"/>
  <c r="L48" i="1" s="1"/>
  <c r="L32" i="1" a="1"/>
  <c r="L32" i="1" s="1"/>
  <c r="L16" i="1" a="1"/>
  <c r="L16" i="1" s="1"/>
  <c r="L43" i="1" a="1"/>
  <c r="L43" i="1" s="1"/>
  <c r="L6" i="1" a="1"/>
  <c r="L6" i="1" s="1"/>
  <c r="L39" i="1" a="1"/>
  <c r="L39" i="1" s="1"/>
  <c r="L23" i="1" a="1"/>
  <c r="L23" i="1" s="1"/>
  <c r="L7" i="1" a="1"/>
  <c r="L7" i="1" s="1"/>
  <c r="L41" i="1" a="1"/>
  <c r="L41" i="1" s="1"/>
  <c r="L25" i="1" a="1"/>
  <c r="L25" i="1" s="1"/>
  <c r="L9" i="1" a="1"/>
  <c r="L9" i="1" s="1"/>
  <c r="L19" i="1" a="1"/>
  <c r="L19" i="1" s="1"/>
  <c r="L45" i="1" a="1"/>
  <c r="L45" i="1" s="1"/>
  <c r="L29" i="1" a="1"/>
  <c r="L29" i="1" s="1"/>
  <c r="L13" i="1" a="1"/>
  <c r="L13" i="1" s="1"/>
  <c r="L30" i="1" a="1"/>
  <c r="L30" i="1" s="1"/>
  <c r="L50" i="1" a="1"/>
  <c r="L50" i="1" s="1"/>
  <c r="L34" i="1" a="1"/>
  <c r="L34" i="1" s="1"/>
  <c r="L18" i="1" a="1"/>
  <c r="L18" i="1" s="1"/>
  <c r="L38" i="1" a="1"/>
  <c r="L38" i="1" s="1"/>
  <c r="L36" i="1" a="1"/>
  <c r="L36" i="1" s="1"/>
  <c r="L20" i="1" a="1"/>
  <c r="L20" i="1" s="1"/>
  <c r="L4" i="1" a="1"/>
  <c r="L4" i="1" s="1"/>
  <c r="L46" i="1" a="1"/>
  <c r="L46" i="1" s="1"/>
  <c r="L11" i="1" a="1"/>
  <c r="L11" i="1" s="1"/>
  <c r="L40" i="1" a="1"/>
  <c r="L40" i="1" s="1"/>
  <c r="L24" i="1" a="1"/>
  <c r="L24" i="1" s="1"/>
  <c r="L8" i="1" a="1"/>
  <c r="L8" i="1" s="1"/>
  <c r="L22" i="1" a="1"/>
  <c r="L22" i="1" s="1"/>
  <c r="L47" i="1" a="1"/>
  <c r="L47" i="1" s="1"/>
  <c r="L31" i="1" a="1"/>
  <c r="L31" i="1" s="1"/>
  <c r="L15" i="1" a="1"/>
  <c r="L15" i="1" s="1"/>
  <c r="L49" i="1" a="1"/>
  <c r="L49" i="1" s="1"/>
  <c r="L33" i="1" a="1"/>
  <c r="L33" i="1" s="1"/>
  <c r="L17" i="1" a="1"/>
  <c r="L17" i="1" s="1"/>
  <c r="K5" i="1" a="1"/>
  <c r="K5" i="1" s="1"/>
  <c r="K8" i="1" a="1"/>
  <c r="K8" i="1" s="1"/>
  <c r="K11" i="1" a="1"/>
  <c r="K11" i="1" s="1"/>
  <c r="K16" i="1" a="1"/>
  <c r="K16" i="1" s="1"/>
  <c r="K20" i="1" a="1"/>
  <c r="K20" i="1" s="1"/>
  <c r="K24" i="1" a="1"/>
  <c r="K24" i="1" s="1"/>
  <c r="K28" i="1" a="1"/>
  <c r="K28" i="1" s="1"/>
  <c r="K32" i="1" a="1"/>
  <c r="K32" i="1" s="1"/>
  <c r="K36" i="1" a="1"/>
  <c r="K36" i="1" s="1"/>
  <c r="K40" i="1" a="1"/>
  <c r="K40" i="1" s="1"/>
  <c r="K44" i="1" a="1"/>
  <c r="K44" i="1" s="1"/>
  <c r="K48" i="1" a="1"/>
  <c r="K48" i="1" s="1"/>
  <c r="K7" i="1" a="1"/>
  <c r="K7" i="1" s="1"/>
  <c r="K19" i="1" a="1"/>
  <c r="K19" i="1" s="1"/>
  <c r="K31" i="1" a="1"/>
  <c r="K31" i="1" s="1"/>
  <c r="K43" i="1" a="1"/>
  <c r="K43" i="1" s="1"/>
  <c r="K9" i="1" a="1"/>
  <c r="K9" i="1" s="1"/>
  <c r="K14" i="1" a="1"/>
  <c r="K14" i="1" s="1"/>
  <c r="K17" i="1" a="1"/>
  <c r="K17" i="1" s="1"/>
  <c r="K21" i="1" a="1"/>
  <c r="K21" i="1" s="1"/>
  <c r="K25" i="1" a="1"/>
  <c r="K25" i="1" s="1"/>
  <c r="K29" i="1" a="1"/>
  <c r="K29" i="1" s="1"/>
  <c r="K33" i="1" a="1"/>
  <c r="K33" i="1" s="1"/>
  <c r="K37" i="1" a="1"/>
  <c r="K37" i="1" s="1"/>
  <c r="K41" i="1" a="1"/>
  <c r="K41" i="1" s="1"/>
  <c r="K45" i="1" a="1"/>
  <c r="K45" i="1" s="1"/>
  <c r="K49" i="1" a="1"/>
  <c r="K49" i="1" s="1"/>
  <c r="K50" i="1" a="1"/>
  <c r="K50" i="1" s="1"/>
  <c r="K4" i="1" a="1"/>
  <c r="K4" i="1" s="1"/>
  <c r="K13" i="1" a="1"/>
  <c r="K13" i="1" s="1"/>
  <c r="K27" i="1" a="1"/>
  <c r="K27" i="1" s="1"/>
  <c r="K39" i="1" a="1"/>
  <c r="K39" i="1" s="1"/>
  <c r="K3" i="1" a="1"/>
  <c r="K3" i="1" s="1"/>
  <c r="K6" i="1" a="1"/>
  <c r="K6" i="1" s="1"/>
  <c r="K12" i="1" a="1"/>
  <c r="K12" i="1" s="1"/>
  <c r="K15" i="1" a="1"/>
  <c r="K15" i="1" s="1"/>
  <c r="K18" i="1" a="1"/>
  <c r="K18" i="1" s="1"/>
  <c r="K22" i="1" a="1"/>
  <c r="K22" i="1" s="1"/>
  <c r="K26" i="1" a="1"/>
  <c r="K26" i="1" s="1"/>
  <c r="K30" i="1" a="1"/>
  <c r="K30" i="1" s="1"/>
  <c r="K34" i="1" a="1"/>
  <c r="K34" i="1" s="1"/>
  <c r="K38" i="1" a="1"/>
  <c r="K38" i="1" s="1"/>
  <c r="K42" i="1" a="1"/>
  <c r="K42" i="1" s="1"/>
  <c r="K46" i="1" a="1"/>
  <c r="K46" i="1" s="1"/>
  <c r="K10" i="1" a="1"/>
  <c r="K10" i="1" s="1"/>
  <c r="K23" i="1" a="1"/>
  <c r="K23" i="1" s="1"/>
  <c r="K35" i="1" a="1"/>
  <c r="K35" i="1" s="1"/>
  <c r="K47" i="1" a="1"/>
  <c r="K47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<sst xmlns="http://schemas.openxmlformats.org/spreadsheetml/2006/main" count="75" uniqueCount="58">
  <si>
    <t>names</t>
  </si>
  <si>
    <t>ids</t>
  </si>
  <si>
    <t>clean name</t>
  </si>
  <si>
    <t>clean id</t>
  </si>
  <si>
    <t>sorted name</t>
  </si>
  <si>
    <t>sorted id</t>
  </si>
  <si>
    <r>
      <t xml:space="preserve">    </t>
    </r>
    <r>
      <rPr>
        <sz val="11"/>
        <color rgb="FFCE9178"/>
        <rFont val="Consolas"/>
        <family val="3"/>
      </rPr>
      <t>"ObscuringFog.c4ce76"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</si>
  <si>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"CryptChill.ab3719"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</si>
  <si>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"ObscuringFog.50e716"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</si>
  <si>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"CryptChill.16d6d6"</t>
    </r>
    <r>
      <rPr>
        <sz val="11"/>
        <color rgb="FFD4D4D4"/>
        <rFont val="Consolas"/>
        <family val="3"/>
      </rPr>
      <t>,</t>
    </r>
  </si>
  <si>
    <t>comma names</t>
  </si>
  <si>
    <t>comma ids</t>
  </si>
  <si>
    <r>
      <t xml:space="preserve">    </t>
    </r>
    <r>
      <rPr>
        <sz val="11"/>
        <color rgb="FFCE9178"/>
        <rFont val="Consolas"/>
        <family val="3"/>
      </rPr>
      <t>"CreepingPoison.410638"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</si>
  <si>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"CreepingPoison.3ae801"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</si>
  <si>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235743</t>
    </r>
    <r>
      <rPr>
        <sz val="11"/>
        <color rgb="FFD4D4D4"/>
        <rFont val="Consolas"/>
        <family val="3"/>
      </rPr>
      <t>,</t>
    </r>
  </si>
  <si>
    <r>
      <t>"IllOmen.81edd7"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</si>
  <si>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"TindalosAlpha.0a36d5"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</si>
  <si>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"AncestralFear.e7b322"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</si>
  <si>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"MergingTimelines.569ef3"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</si>
  <si>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"FinalMistake.bcaed6"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</si>
  <si>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"MergingTimelines.a8c64d"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</si>
  <si>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"TindalosAlpha.860c49"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</si>
  <si>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"Entombed.de9a86"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</si>
  <si>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"Entombed.d21d50"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</si>
  <si>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"BroodofYig.631fd0"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</si>
  <si>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"MergingTimelines.d336b3"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</si>
  <si>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"SerpentGuardian.b19e11"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</si>
  <si>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"FinalMistake.49130a"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</si>
  <si>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"BroodofYig.7a3a6a"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</si>
  <si>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"CurseofYig.b7a7ec"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</si>
  <si>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"VengefulSerpent.763aba"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</si>
  <si>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"CurseofYig.0b33ea"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</si>
  <si>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"VengefulSerpent.f7e0b4"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</si>
  <si>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"IllOmen.6bff4f"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</si>
  <si>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"VengefulSerpent.e8035e"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</si>
  <si>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"BroodofYig.dfc63f"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</si>
  <si>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"SerpentfromYoth.716be4"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</si>
  <si>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"DeepDark.89b67a"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</si>
  <si>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"WrathofYig.89bea8"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</si>
  <si>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"DeepDark.7b221b"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</si>
  <si>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CE9178"/>
        <rFont val="Consolas"/>
        <family val="3"/>
      </rPr>
      <t>"AncestralFear.efad2a"</t>
    </r>
  </si>
  <si>
    <r>
      <t xml:space="preserve">    </t>
    </r>
    <r>
      <rPr>
        <sz val="11"/>
        <color rgb="FFB5CEA8"/>
        <rFont val="Consolas"/>
        <family val="3"/>
      </rPr>
      <t>231631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</si>
  <si>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235735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</si>
  <si>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231630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</si>
  <si>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235730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</si>
  <si>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539620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</si>
  <si>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539621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</si>
  <si>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235731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</si>
  <si>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235725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</si>
  <si>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231633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</si>
  <si>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235727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</si>
  <si>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231632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</si>
  <si>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539720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</si>
  <si>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235734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</si>
  <si>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235726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</si>
  <si>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235736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</si>
  <si>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231634</t>
    </r>
    <r>
      <rPr>
        <sz val="11"/>
        <color rgb="FFD4D4D4"/>
        <rFont val="Consolas"/>
        <family val="3"/>
      </rPr>
      <t>,</t>
    </r>
  </si>
  <si>
    <r>
      <t xml:space="preserve">    </t>
    </r>
    <r>
      <rPr>
        <sz val="11"/>
        <color rgb="FFB5CEA8"/>
        <rFont val="Consolas"/>
        <family val="3"/>
      </rPr>
      <t>235735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</si>
</sst>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sz val="11"/>
      <color rgb="FFB5CEA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133350</xdr:rowOff>
        </xdr:from>
        <xdr:to>
          <xdr:col>10</xdr:col>
          <xdr:colOff>2362200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3038475</xdr:colOff>
          <xdr:row>0</xdr:row>
          <xdr:rowOff>142875</xdr:rowOff>
        </xdr:from>
        <xdr:to>
          <xdr:col>11</xdr:col>
          <xdr:colOff>800100</xdr:colOff>
          <xdr:row>0</xdr:row>
          <xdr:rowOff>428625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IDs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07C27-DB3E-41EB-BB9E-1992CD8F529F}">
  <sheetPr codeName="Tabelle1"/>
  <dimension ref="B1:L50"/>
  <sheetViews>
    <sheetView tabSelected="1" workbookViewId="0">
      <selection activeCell="L9" sqref="L9"/>
    </sheetView>
  </sheetViews>
  <sheetFormatPr baseColWidth="10" defaultRowHeight="15" x14ac:dyDescent="0.25"/>
  <cols>
    <col min="1" max="1" width="5.7109375" customWidth="1"/>
    <col min="2" max="2" width="45.7109375" customWidth="1"/>
    <col min="3" max="3" width="14.7109375" customWidth="1"/>
    <col min="4" max="4" width="5.7109375" hidden="1" customWidth="1"/>
    <col min="5" max="5" width="45.7109375" hidden="1" customWidth="1"/>
    <col min="6" max="6" width="12.7109375" hidden="1" customWidth="1"/>
    <col min="7" max="7" width="5.7109375" hidden="1" customWidth="1"/>
    <col min="8" max="8" width="45.7109375" hidden="1" customWidth="1"/>
    <col min="9" max="9" width="12.7109375" hidden="1" customWidth="1"/>
    <col min="10" max="10" width="5.7109375" customWidth="1"/>
    <col min="11" max="11" width="45.7109375" customWidth="1"/>
    <col min="12" max="12" width="12.7109375" customWidth="1"/>
  </cols>
  <sheetData>
    <row r="1" spans="2:12" ht="39.75" customHeight="1" x14ac:dyDescent="0.25"/>
    <row r="2" spans="2:12" x14ac:dyDescent="0.25">
      <c r="B2" t="s">
        <v>0</v>
      </c>
      <c r="C2" t="s">
        <v>1</v>
      </c>
      <c r="E2" t="s">
        <v>2</v>
      </c>
      <c r="F2" t="s">
        <v>3</v>
      </c>
      <c r="H2" t="s">
        <v>4</v>
      </c>
      <c r="I2" t="s">
        <v>5</v>
      </c>
      <c r="K2" t="s">
        <v>10</v>
      </c>
      <c r="L2" s="4" t="s">
        <v>11</v>
      </c>
    </row>
    <row r="3" spans="2:12" x14ac:dyDescent="0.25">
      <c r="B3" s="3" t="s">
        <v>15</v>
      </c>
      <c r="C3" s="2">
        <v>235734</v>
      </c>
      <c r="E3" t="str">
        <f>SUBSTITUTE(SUBSTITUTE(SUBSTITUTE(B3," ","")," ",""),",","")</f>
        <v>"IllOmen.81edd7"</v>
      </c>
      <c r="F3" t="str">
        <f>SUBSTITUTE(SUBSTITUTE(SUBSTITUTE(C3," ","")," ",""),",","")</f>
        <v>235734</v>
      </c>
      <c r="H3" t="str" cm="1">
        <f t="array" ref="H3:I36">_xlfn._xlws.SORT(_xlfn._xlws.FILTER(E3:F50,E3:E50&lt;&gt;""))</f>
        <v>"AncestralFear.e7b322"</v>
      </c>
      <c r="I3" t="str">
        <v>235735</v>
      </c>
      <c r="K3" t="str" cm="1">
        <f t="array" ref="K3">IF(ROW(H3)&gt;=COUNTA(_xlfn._xlws.FILTER(H$3:H$50,H$3:H$50&lt;&gt;""))+2,IF(H3=0,"",H3),H3&amp;",")</f>
        <v>"AncestralFear.e7b322",</v>
      </c>
      <c r="L3" s="4" t="str" cm="1">
        <f t="array" ref="L3">IF(ROW(I3)&gt;=COUNTA(_xlfn._xlws.FILTER(I$3:I$50,I$3:I$50&lt;&gt;""))+2,IF(I3=0,"",I3),I3&amp;",")</f>
        <v>235735,</v>
      </c>
    </row>
    <row r="4" spans="2:12" x14ac:dyDescent="0.25">
      <c r="B4" s="1" t="s">
        <v>16</v>
      </c>
      <c r="C4" s="1" t="s">
        <v>41</v>
      </c>
      <c r="E4" t="str">
        <f t="shared" ref="E4:E50" si="0">SUBSTITUTE(SUBSTITUTE(SUBSTITUTE(B4," ","")," ",""),",","")</f>
        <v>"TindalosAlpha.0a36d5"</v>
      </c>
      <c r="F4" t="str">
        <f t="shared" ref="F4:F50" si="1">SUBSTITUTE(SUBSTITUTE(SUBSTITUTE(C4," ","")," ",""),",","")</f>
        <v>231631</v>
      </c>
      <c r="H4" t="str">
        <v>"AncestralFear.efad2a"</v>
      </c>
      <c r="I4" t="str">
        <v>235735</v>
      </c>
      <c r="K4" t="str" cm="1">
        <f t="array" ref="K4">IF(ROW(H4)&gt;=COUNTA(_xlfn._xlws.FILTER(H$3:H$50,H$3:H$50&lt;&gt;""))+2,IF(H4=0,"",H4),H4&amp;",")</f>
        <v>"AncestralFear.efad2a",</v>
      </c>
      <c r="L4" s="4" t="str" cm="1">
        <f t="array" ref="L4">IF(ROW(I4)&gt;=COUNTA(_xlfn._xlws.FILTER(I$3:I$50,I$3:I$50&lt;&gt;""))+2,IF(I4=0,"",I4),I4&amp;",")</f>
        <v>235735,</v>
      </c>
    </row>
    <row r="5" spans="2:12" x14ac:dyDescent="0.25">
      <c r="B5" s="1" t="s">
        <v>17</v>
      </c>
      <c r="C5" s="1" t="s">
        <v>42</v>
      </c>
      <c r="E5" t="str">
        <f t="shared" si="0"/>
        <v>"AncestralFear.e7b322"</v>
      </c>
      <c r="F5" t="str">
        <f t="shared" si="1"/>
        <v>235735</v>
      </c>
      <c r="H5" t="str">
        <v>"BroodofYig.631fd0"</v>
      </c>
      <c r="I5" t="str">
        <v>235725</v>
      </c>
      <c r="K5" t="str" cm="1">
        <f t="array" ref="K5">IF(ROW(H5)&gt;=COUNTA(_xlfn._xlws.FILTER(H$3:H$50,H$3:H$50&lt;&gt;""))+2,IF(H5=0,"",H5),H5&amp;",")</f>
        <v>"BroodofYig.631fd0",</v>
      </c>
      <c r="L5" s="4" t="str" cm="1">
        <f t="array" ref="L5">IF(ROW(I5)&gt;=COUNTA(_xlfn._xlws.FILTER(I$3:I$50,I$3:I$50&lt;&gt;""))+2,IF(I5=0,"",I5),I5&amp;",")</f>
        <v>235725,</v>
      </c>
    </row>
    <row r="6" spans="2:12" x14ac:dyDescent="0.25">
      <c r="B6" s="1" t="s">
        <v>18</v>
      </c>
      <c r="C6" s="1" t="s">
        <v>43</v>
      </c>
      <c r="E6" t="str">
        <f t="shared" si="0"/>
        <v>"MergingTimelines.569ef3"</v>
      </c>
      <c r="F6" t="str">
        <f t="shared" si="1"/>
        <v>231630</v>
      </c>
      <c r="H6" t="str">
        <v>"BroodofYig.7a3a6a"</v>
      </c>
      <c r="I6" t="str">
        <v>235725</v>
      </c>
      <c r="K6" t="str" cm="1">
        <f t="array" ref="K6">IF(ROW(H6)&gt;=COUNTA(_xlfn._xlws.FILTER(H$3:H$50,H$3:H$50&lt;&gt;""))+2,IF(H6=0,"",H6),H6&amp;",")</f>
        <v>"BroodofYig.7a3a6a",</v>
      </c>
      <c r="L6" s="4" t="str" cm="1">
        <f t="array" ref="L6">IF(ROW(I6)&gt;=COUNTA(_xlfn._xlws.FILTER(I$3:I$50,I$3:I$50&lt;&gt;""))+2,IF(I6=0,"",I6),I6&amp;",")</f>
        <v>235725,</v>
      </c>
    </row>
    <row r="7" spans="2:12" x14ac:dyDescent="0.25">
      <c r="B7" s="1" t="s">
        <v>19</v>
      </c>
      <c r="C7" s="1" t="s">
        <v>44</v>
      </c>
      <c r="E7" t="str">
        <f t="shared" si="0"/>
        <v>"FinalMistake.bcaed6"</v>
      </c>
      <c r="F7" t="str">
        <f t="shared" si="1"/>
        <v>235730</v>
      </c>
      <c r="H7" t="str">
        <v>"BroodofYig.dfc63f"</v>
      </c>
      <c r="I7" t="str">
        <v>235725</v>
      </c>
      <c r="K7" t="str" cm="1">
        <f t="array" ref="K7">IF(ROW(H7)&gt;=COUNTA(_xlfn._xlws.FILTER(H$3:H$50,H$3:H$50&lt;&gt;""))+2,IF(H7=0,"",H7),H7&amp;",")</f>
        <v>"BroodofYig.dfc63f",</v>
      </c>
      <c r="L7" s="4" t="str" cm="1">
        <f t="array" ref="L7">IF(ROW(I7)&gt;=COUNTA(_xlfn._xlws.FILTER(I$3:I$50,I$3:I$50&lt;&gt;""))+2,IF(I7=0,"",I7),I7&amp;",")</f>
        <v>235725,</v>
      </c>
    </row>
    <row r="8" spans="2:12" x14ac:dyDescent="0.25">
      <c r="B8" s="1" t="s">
        <v>7</v>
      </c>
      <c r="C8" s="1" t="s">
        <v>45</v>
      </c>
      <c r="E8" t="str">
        <f t="shared" si="0"/>
        <v>"CryptChill.ab3719"</v>
      </c>
      <c r="F8" t="str">
        <f t="shared" si="1"/>
        <v>539620</v>
      </c>
      <c r="H8" t="str">
        <v>"CreepingPoison.3ae801"</v>
      </c>
      <c r="I8" t="str">
        <v>235743</v>
      </c>
      <c r="K8" t="str" cm="1">
        <f t="array" ref="K8">IF(ROW(H8)&gt;=COUNTA(_xlfn._xlws.FILTER(H$3:H$50,H$3:H$50&lt;&gt;""))+2,IF(H8=0,"",H8),H8&amp;",")</f>
        <v>"CreepingPoison.3ae801",</v>
      </c>
      <c r="L8" s="4" t="str" cm="1">
        <f t="array" ref="L8">IF(ROW(I8)&gt;=COUNTA(_xlfn._xlws.FILTER(I$3:I$50,I$3:I$50&lt;&gt;""))+2,IF(I8=0,"",I8),I8&amp;",")</f>
        <v>235743,</v>
      </c>
    </row>
    <row r="9" spans="2:12" x14ac:dyDescent="0.25">
      <c r="B9" s="1" t="s">
        <v>8</v>
      </c>
      <c r="C9" s="1" t="s">
        <v>46</v>
      </c>
      <c r="E9" t="str">
        <f t="shared" si="0"/>
        <v>"ObscuringFog.50e716"</v>
      </c>
      <c r="F9" t="str">
        <f t="shared" si="1"/>
        <v>539621</v>
      </c>
      <c r="H9" t="str">
        <v>"CreepingPoison.410638"</v>
      </c>
      <c r="I9" t="str">
        <v>235743</v>
      </c>
      <c r="K9" t="str" cm="1">
        <f t="array" ref="K9">IF(ROW(H9)&gt;=COUNTA(_xlfn._xlws.FILTER(H$3:H$50,H$3:H$50&lt;&gt;""))+2,IF(H9=0,"",H9),H9&amp;",")</f>
        <v>"CreepingPoison.410638",</v>
      </c>
      <c r="L9" s="4" t="str" cm="1">
        <f t="array" ref="L9">IF(ROW(I9)&gt;=COUNTA(_xlfn._xlws.FILTER(I$3:I$50,I$3:I$50&lt;&gt;""))+2,IF(I9=0,"",I9),I9&amp;",")</f>
        <v>235743,</v>
      </c>
    </row>
    <row r="10" spans="2:12" x14ac:dyDescent="0.25">
      <c r="B10" s="1" t="s">
        <v>20</v>
      </c>
      <c r="C10" s="1" t="s">
        <v>43</v>
      </c>
      <c r="E10" t="str">
        <f t="shared" si="0"/>
        <v>"MergingTimelines.a8c64d"</v>
      </c>
      <c r="F10" t="str">
        <f t="shared" si="1"/>
        <v>231630</v>
      </c>
      <c r="H10" t="str">
        <v>"CryptChill.16d6d6"</v>
      </c>
      <c r="I10" t="str">
        <v>539720</v>
      </c>
      <c r="K10" t="str" cm="1">
        <f t="array" ref="K10">IF(ROW(H10)&gt;=COUNTA(_xlfn._xlws.FILTER(H$3:H$50,H$3:H$50&lt;&gt;""))+2,IF(H10=0,"",H10),H10&amp;",")</f>
        <v>"CryptChill.16d6d6",</v>
      </c>
      <c r="L10" s="4" t="str" cm="1">
        <f t="array" ref="L10">IF(ROW(I10)&gt;=COUNTA(_xlfn._xlws.FILTER(I$3:I$50,I$3:I$50&lt;&gt;""))+2,IF(I10=0,"",I10),I10&amp;",")</f>
        <v>539720,</v>
      </c>
    </row>
    <row r="11" spans="2:12" x14ac:dyDescent="0.25">
      <c r="B11" s="1" t="s">
        <v>12</v>
      </c>
      <c r="C11" s="1" t="s">
        <v>14</v>
      </c>
      <c r="E11" t="str">
        <f t="shared" si="0"/>
        <v>"CreepingPoison.410638"</v>
      </c>
      <c r="F11" t="str">
        <f t="shared" si="1"/>
        <v>235743</v>
      </c>
      <c r="H11" t="str">
        <v>"CryptChill.ab3719"</v>
      </c>
      <c r="I11" t="str">
        <v>539620</v>
      </c>
      <c r="K11" t="str" cm="1">
        <f t="array" ref="K11">IF(ROW(H11)&gt;=COUNTA(_xlfn._xlws.FILTER(H$3:H$50,H$3:H$50&lt;&gt;""))+2,IF(H11=0,"",H11),H11&amp;",")</f>
        <v>"CryptChill.ab3719",</v>
      </c>
      <c r="L11" s="4" t="str" cm="1">
        <f t="array" ref="L11">IF(ROW(I11)&gt;=COUNTA(_xlfn._xlws.FILTER(I$3:I$50,I$3:I$50&lt;&gt;""))+2,IF(I11=0,"",I11),I11&amp;",")</f>
        <v>539620,</v>
      </c>
    </row>
    <row r="12" spans="2:12" x14ac:dyDescent="0.25">
      <c r="B12" s="1" t="s">
        <v>21</v>
      </c>
      <c r="C12" s="1" t="s">
        <v>41</v>
      </c>
      <c r="E12" t="str">
        <f t="shared" si="0"/>
        <v>"TindalosAlpha.860c49"</v>
      </c>
      <c r="F12" t="str">
        <f t="shared" si="1"/>
        <v>231631</v>
      </c>
      <c r="H12" t="str">
        <v>"CurseofYig.0b33ea"</v>
      </c>
      <c r="I12" t="str">
        <v>235727</v>
      </c>
      <c r="K12" t="str" cm="1">
        <f t="array" ref="K12">IF(ROW(H12)&gt;=COUNTA(_xlfn._xlws.FILTER(H$3:H$50,H$3:H$50&lt;&gt;""))+2,IF(H12=0,"",H12),H12&amp;",")</f>
        <v>"CurseofYig.0b33ea",</v>
      </c>
      <c r="L12" s="4" t="str" cm="1">
        <f t="array" ref="L12">IF(ROW(I12)&gt;=COUNTA(_xlfn._xlws.FILTER(I$3:I$50,I$3:I$50&lt;&gt;""))+2,IF(I12=0,"",I12),I12&amp;",")</f>
        <v>235727,</v>
      </c>
    </row>
    <row r="13" spans="2:12" x14ac:dyDescent="0.25">
      <c r="B13" s="1" t="s">
        <v>22</v>
      </c>
      <c r="C13" s="1" t="s">
        <v>47</v>
      </c>
      <c r="E13" t="str">
        <f t="shared" si="0"/>
        <v>"Entombed.de9a86"</v>
      </c>
      <c r="F13" t="str">
        <f t="shared" si="1"/>
        <v>235731</v>
      </c>
      <c r="H13" t="str">
        <v>"CurseofYig.b7a7ec"</v>
      </c>
      <c r="I13" t="str">
        <v>235727</v>
      </c>
      <c r="K13" t="str" cm="1">
        <f t="array" ref="K13">IF(ROW(H13)&gt;=COUNTA(_xlfn._xlws.FILTER(H$3:H$50,H$3:H$50&lt;&gt;""))+2,IF(H13=0,"",H13),H13&amp;",")</f>
        <v>"CurseofYig.b7a7ec",</v>
      </c>
      <c r="L13" s="4" t="str" cm="1">
        <f t="array" ref="L13">IF(ROW(I13)&gt;=COUNTA(_xlfn._xlws.FILTER(I$3:I$50,I$3:I$50&lt;&gt;""))+2,IF(I13=0,"",I13),I13&amp;",")</f>
        <v>235727,</v>
      </c>
    </row>
    <row r="14" spans="2:12" x14ac:dyDescent="0.25">
      <c r="B14" s="1" t="s">
        <v>23</v>
      </c>
      <c r="C14" s="1" t="s">
        <v>47</v>
      </c>
      <c r="E14" t="str">
        <f t="shared" si="0"/>
        <v>"Entombed.d21d50"</v>
      </c>
      <c r="F14" t="str">
        <f t="shared" si="1"/>
        <v>235731</v>
      </c>
      <c r="H14" t="str">
        <v>"DeepDark.7b221b"</v>
      </c>
      <c r="I14" t="str">
        <v>235736</v>
      </c>
      <c r="K14" t="str" cm="1">
        <f t="array" ref="K14">IF(ROW(H14)&gt;=COUNTA(_xlfn._xlws.FILTER(H$3:H$50,H$3:H$50&lt;&gt;""))+2,IF(H14=0,"",H14),H14&amp;",")</f>
        <v>"DeepDark.7b221b",</v>
      </c>
      <c r="L14" s="4" t="str" cm="1">
        <f t="array" ref="L14">IF(ROW(I14)&gt;=COUNTA(_xlfn._xlws.FILTER(I$3:I$50,I$3:I$50&lt;&gt;""))+2,IF(I14=0,"",I14),I14&amp;",")</f>
        <v>235736,</v>
      </c>
    </row>
    <row r="15" spans="2:12" x14ac:dyDescent="0.25">
      <c r="B15" s="1" t="s">
        <v>24</v>
      </c>
      <c r="C15" s="1" t="s">
        <v>48</v>
      </c>
      <c r="E15" t="str">
        <f t="shared" si="0"/>
        <v>"BroodofYig.631fd0"</v>
      </c>
      <c r="F15" t="str">
        <f t="shared" si="1"/>
        <v>235725</v>
      </c>
      <c r="H15" t="str">
        <v>"DeepDark.89b67a"</v>
      </c>
      <c r="I15" t="str">
        <v>235736</v>
      </c>
      <c r="K15" t="str" cm="1">
        <f t="array" ref="K15">IF(ROW(H15)&gt;=COUNTA(_xlfn._xlws.FILTER(H$3:H$50,H$3:H$50&lt;&gt;""))+2,IF(H15=0,"",H15),H15&amp;",")</f>
        <v>"DeepDark.89b67a",</v>
      </c>
      <c r="L15" s="4" t="str" cm="1">
        <f t="array" ref="L15">IF(ROW(I15)&gt;=COUNTA(_xlfn._xlws.FILTER(I$3:I$50,I$3:I$50&lt;&gt;""))+2,IF(I15=0,"",I15),I15&amp;",")</f>
        <v>235736,</v>
      </c>
    </row>
    <row r="16" spans="2:12" x14ac:dyDescent="0.25">
      <c r="B16" s="1" t="s">
        <v>25</v>
      </c>
      <c r="C16" s="1" t="s">
        <v>43</v>
      </c>
      <c r="E16" t="str">
        <f t="shared" si="0"/>
        <v>"MergingTimelines.d336b3"</v>
      </c>
      <c r="F16" t="str">
        <f t="shared" si="1"/>
        <v>231630</v>
      </c>
      <c r="H16" t="str">
        <v>"DeepDark.89b67a"</v>
      </c>
      <c r="I16" t="str">
        <v>235736</v>
      </c>
      <c r="K16" t="str" cm="1">
        <f t="array" ref="K16">IF(ROW(H16)&gt;=COUNTA(_xlfn._xlws.FILTER(H$3:H$50,H$3:H$50&lt;&gt;""))+2,IF(H16=0,"",H16),H16&amp;",")</f>
        <v>"DeepDark.89b67a",</v>
      </c>
      <c r="L16" s="4" t="str" cm="1">
        <f t="array" ref="L16">IF(ROW(I16)&gt;=COUNTA(_xlfn._xlws.FILTER(I$3:I$50,I$3:I$50&lt;&gt;""))+2,IF(I16=0,"",I16),I16&amp;",")</f>
        <v>235736,</v>
      </c>
    </row>
    <row r="17" spans="2:12" x14ac:dyDescent="0.25">
      <c r="B17" s="1" t="s">
        <v>26</v>
      </c>
      <c r="C17" s="1" t="s">
        <v>49</v>
      </c>
      <c r="E17" t="str">
        <f t="shared" si="0"/>
        <v>"SerpentGuardian.b19e11"</v>
      </c>
      <c r="F17" t="str">
        <f t="shared" si="1"/>
        <v>231633</v>
      </c>
      <c r="H17" t="str">
        <v>"Entombed.d21d50"</v>
      </c>
      <c r="I17" t="str">
        <v>235731</v>
      </c>
      <c r="K17" t="str" cm="1">
        <f t="array" ref="K17">IF(ROW(H17)&gt;=COUNTA(_xlfn._xlws.FILTER(H$3:H$50,H$3:H$50&lt;&gt;""))+2,IF(H17=0,"",H17),H17&amp;",")</f>
        <v>"Entombed.d21d50",</v>
      </c>
      <c r="L17" s="4" t="str" cm="1">
        <f t="array" ref="L17">IF(ROW(I17)&gt;=COUNTA(_xlfn._xlws.FILTER(I$3:I$50,I$3:I$50&lt;&gt;""))+2,IF(I17=0,"",I17),I17&amp;",")</f>
        <v>235731,</v>
      </c>
    </row>
    <row r="18" spans="2:12" x14ac:dyDescent="0.25">
      <c r="B18" s="1" t="s">
        <v>27</v>
      </c>
      <c r="C18" s="1" t="s">
        <v>44</v>
      </c>
      <c r="E18" t="str">
        <f t="shared" si="0"/>
        <v>"FinalMistake.49130a"</v>
      </c>
      <c r="F18" t="str">
        <f t="shared" si="1"/>
        <v>235730</v>
      </c>
      <c r="H18" t="str">
        <v>"Entombed.de9a86"</v>
      </c>
      <c r="I18" t="str">
        <v>235731</v>
      </c>
      <c r="K18" t="str" cm="1">
        <f t="array" ref="K18">IF(ROW(H18)&gt;=COUNTA(_xlfn._xlws.FILTER(H$3:H$50,H$3:H$50&lt;&gt;""))+2,IF(H18=0,"",H18),H18&amp;",")</f>
        <v>"Entombed.de9a86",</v>
      </c>
      <c r="L18" s="4" t="str" cm="1">
        <f t="array" ref="L18">IF(ROW(I18)&gt;=COUNTA(_xlfn._xlws.FILTER(I$3:I$50,I$3:I$50&lt;&gt;""))+2,IF(I18=0,"",I18),I18&amp;",")</f>
        <v>235731,</v>
      </c>
    </row>
    <row r="19" spans="2:12" x14ac:dyDescent="0.25">
      <c r="B19" s="1" t="s">
        <v>28</v>
      </c>
      <c r="C19" s="1" t="s">
        <v>48</v>
      </c>
      <c r="E19" t="str">
        <f t="shared" si="0"/>
        <v>"BroodofYig.7a3a6a"</v>
      </c>
      <c r="F19" t="str">
        <f t="shared" si="1"/>
        <v>235725</v>
      </c>
      <c r="H19" t="str">
        <v>"FinalMistake.49130a"</v>
      </c>
      <c r="I19" t="str">
        <v>235730</v>
      </c>
      <c r="K19" t="str" cm="1">
        <f t="array" ref="K19">IF(ROW(H19)&gt;=COUNTA(_xlfn._xlws.FILTER(H$3:H$50,H$3:H$50&lt;&gt;""))+2,IF(H19=0,"",H19),H19&amp;",")</f>
        <v>"FinalMistake.49130a",</v>
      </c>
      <c r="L19" s="4" t="str" cm="1">
        <f t="array" ref="L19">IF(ROW(I19)&gt;=COUNTA(_xlfn._xlws.FILTER(I$3:I$50,I$3:I$50&lt;&gt;""))+2,IF(I19=0,"",I19),I19&amp;",")</f>
        <v>235730,</v>
      </c>
    </row>
    <row r="20" spans="2:12" x14ac:dyDescent="0.25">
      <c r="B20" s="1" t="s">
        <v>29</v>
      </c>
      <c r="C20" s="1" t="s">
        <v>50</v>
      </c>
      <c r="E20" t="str">
        <f t="shared" si="0"/>
        <v>"CurseofYig.b7a7ec"</v>
      </c>
      <c r="F20" t="str">
        <f t="shared" si="1"/>
        <v>235727</v>
      </c>
      <c r="H20" t="str">
        <v>"FinalMistake.49130a"</v>
      </c>
      <c r="I20" t="str">
        <v>235730</v>
      </c>
      <c r="K20" t="str" cm="1">
        <f t="array" ref="K20">IF(ROW(H20)&gt;=COUNTA(_xlfn._xlws.FILTER(H$3:H$50,H$3:H$50&lt;&gt;""))+2,IF(H20=0,"",H20),H20&amp;",")</f>
        <v>"FinalMistake.49130a",</v>
      </c>
      <c r="L20" s="4" t="str" cm="1">
        <f t="array" ref="L20">IF(ROW(I20)&gt;=COUNTA(_xlfn._xlws.FILTER(I$3:I$50,I$3:I$50&lt;&gt;""))+2,IF(I20=0,"",I20),I20&amp;",")</f>
        <v>235730,</v>
      </c>
    </row>
    <row r="21" spans="2:12" x14ac:dyDescent="0.25">
      <c r="B21" s="1" t="s">
        <v>30</v>
      </c>
      <c r="C21" s="1" t="s">
        <v>51</v>
      </c>
      <c r="E21" t="str">
        <f t="shared" si="0"/>
        <v>"VengefulSerpent.763aba"</v>
      </c>
      <c r="F21" t="str">
        <f t="shared" si="1"/>
        <v>231632</v>
      </c>
      <c r="H21" t="str">
        <v>"FinalMistake.bcaed6"</v>
      </c>
      <c r="I21" t="str">
        <v>235730</v>
      </c>
      <c r="K21" t="str" cm="1">
        <f t="array" ref="K21">IF(ROW(H21)&gt;=COUNTA(_xlfn._xlws.FILTER(H$3:H$50,H$3:H$50&lt;&gt;""))+2,IF(H21=0,"",H21),H21&amp;",")</f>
        <v>"FinalMistake.bcaed6",</v>
      </c>
      <c r="L21" s="4" t="str" cm="1">
        <f t="array" ref="L21">IF(ROW(I21)&gt;=COUNTA(_xlfn._xlws.FILTER(I$3:I$50,I$3:I$50&lt;&gt;""))+2,IF(I21=0,"",I21),I21&amp;",")</f>
        <v>235730,</v>
      </c>
    </row>
    <row r="22" spans="2:12" x14ac:dyDescent="0.25">
      <c r="B22" s="1" t="s">
        <v>31</v>
      </c>
      <c r="C22" s="1" t="s">
        <v>50</v>
      </c>
      <c r="E22" t="str">
        <f t="shared" si="0"/>
        <v>"CurseofYig.0b33ea"</v>
      </c>
      <c r="F22" t="str">
        <f t="shared" si="1"/>
        <v>235727</v>
      </c>
      <c r="H22" t="str">
        <v>"IllOmen.6bff4f"</v>
      </c>
      <c r="I22" t="str">
        <v>235734</v>
      </c>
      <c r="K22" t="str" cm="1">
        <f t="array" ref="K22">IF(ROW(H22)&gt;=COUNTA(_xlfn._xlws.FILTER(H$3:H$50,H$3:H$50&lt;&gt;""))+2,IF(H22=0,"",H22),H22&amp;",")</f>
        <v>"IllOmen.6bff4f",</v>
      </c>
      <c r="L22" s="4" t="str" cm="1">
        <f t="array" ref="L22">IF(ROW(I22)&gt;=COUNTA(_xlfn._xlws.FILTER(I$3:I$50,I$3:I$50&lt;&gt;""))+2,IF(I22=0,"",I22),I22&amp;",")</f>
        <v>235734,</v>
      </c>
    </row>
    <row r="23" spans="2:12" x14ac:dyDescent="0.25">
      <c r="B23" s="1" t="s">
        <v>32</v>
      </c>
      <c r="C23" s="1" t="s">
        <v>51</v>
      </c>
      <c r="E23" t="str">
        <f t="shared" si="0"/>
        <v>"VengefulSerpent.f7e0b4"</v>
      </c>
      <c r="F23" t="str">
        <f t="shared" si="1"/>
        <v>231632</v>
      </c>
      <c r="H23" t="str">
        <v>"IllOmen.81edd7"</v>
      </c>
      <c r="I23" t="str">
        <v>235734</v>
      </c>
      <c r="K23" t="str" cm="1">
        <f t="array" ref="K23">IF(ROW(H23)&gt;=COUNTA(_xlfn._xlws.FILTER(H$3:H$50,H$3:H$50&lt;&gt;""))+2,IF(H23=0,"",H23),H23&amp;",")</f>
        <v>"IllOmen.81edd7",</v>
      </c>
      <c r="L23" s="4" t="str" cm="1">
        <f t="array" ref="L23">IF(ROW(I23)&gt;=COUNTA(_xlfn._xlws.FILTER(I$3:I$50,I$3:I$50&lt;&gt;""))+2,IF(I23=0,"",I23),I23&amp;",")</f>
        <v>235734,</v>
      </c>
    </row>
    <row r="24" spans="2:12" x14ac:dyDescent="0.25">
      <c r="B24" s="1" t="s">
        <v>9</v>
      </c>
      <c r="C24" s="1" t="s">
        <v>52</v>
      </c>
      <c r="E24" t="str">
        <f t="shared" si="0"/>
        <v>"CryptChill.16d6d6"</v>
      </c>
      <c r="F24" t="str">
        <f t="shared" si="1"/>
        <v>539720</v>
      </c>
      <c r="H24" t="str">
        <v>"MergingTimelines.569ef3"</v>
      </c>
      <c r="I24" t="str">
        <v>231630</v>
      </c>
      <c r="K24" t="str" cm="1">
        <f t="array" ref="K24">IF(ROW(H24)&gt;=COUNTA(_xlfn._xlws.FILTER(H$3:H$50,H$3:H$50&lt;&gt;""))+2,IF(H24=0,"",H24),H24&amp;",")</f>
        <v>"MergingTimelines.569ef3",</v>
      </c>
      <c r="L24" s="4" t="str" cm="1">
        <f t="array" ref="L24">IF(ROW(I24)&gt;=COUNTA(_xlfn._xlws.FILTER(I$3:I$50,I$3:I$50&lt;&gt;""))+2,IF(I24=0,"",I24),I24&amp;",")</f>
        <v>231630,</v>
      </c>
    </row>
    <row r="25" spans="2:12" x14ac:dyDescent="0.25">
      <c r="B25" s="1" t="s">
        <v>33</v>
      </c>
      <c r="C25" s="1" t="s">
        <v>53</v>
      </c>
      <c r="E25" t="str">
        <f t="shared" si="0"/>
        <v>"IllOmen.6bff4f"</v>
      </c>
      <c r="F25" t="str">
        <f t="shared" si="1"/>
        <v>235734</v>
      </c>
      <c r="H25" t="str">
        <v>"MergingTimelines.a8c64d"</v>
      </c>
      <c r="I25" t="str">
        <v>231630</v>
      </c>
      <c r="K25" t="str" cm="1">
        <f t="array" ref="K25">IF(ROW(H25)&gt;=COUNTA(_xlfn._xlws.FILTER(H$3:H$50,H$3:H$50&lt;&gt;""))+2,IF(H25=0,"",H25),H25&amp;",")</f>
        <v>"MergingTimelines.a8c64d",</v>
      </c>
      <c r="L25" s="4" t="str" cm="1">
        <f t="array" ref="L25">IF(ROW(I25)&gt;=COUNTA(_xlfn._xlws.FILTER(I$3:I$50,I$3:I$50&lt;&gt;""))+2,IF(I25=0,"",I25),I25&amp;",")</f>
        <v>231630,</v>
      </c>
    </row>
    <row r="26" spans="2:12" x14ac:dyDescent="0.25">
      <c r="B26" s="1" t="s">
        <v>34</v>
      </c>
      <c r="C26" s="1" t="s">
        <v>51</v>
      </c>
      <c r="E26" t="str">
        <f t="shared" si="0"/>
        <v>"VengefulSerpent.e8035e"</v>
      </c>
      <c r="F26" t="str">
        <f t="shared" si="1"/>
        <v>231632</v>
      </c>
      <c r="H26" t="str">
        <v>"MergingTimelines.d336b3"</v>
      </c>
      <c r="I26" t="str">
        <v>231630</v>
      </c>
      <c r="K26" t="str" cm="1">
        <f t="array" ref="K26">IF(ROW(H26)&gt;=COUNTA(_xlfn._xlws.FILTER(H$3:H$50,H$3:H$50&lt;&gt;""))+2,IF(H26=0,"",H26),H26&amp;",")</f>
        <v>"MergingTimelines.d336b3",</v>
      </c>
      <c r="L26" s="4" t="str" cm="1">
        <f t="array" ref="L26">IF(ROW(I26)&gt;=COUNTA(_xlfn._xlws.FILTER(I$3:I$50,I$3:I$50&lt;&gt;""))+2,IF(I26=0,"",I26),I26&amp;",")</f>
        <v>231630,</v>
      </c>
    </row>
    <row r="27" spans="2:12" x14ac:dyDescent="0.25">
      <c r="B27" s="1" t="s">
        <v>27</v>
      </c>
      <c r="C27" s="1" t="s">
        <v>44</v>
      </c>
      <c r="E27" t="str">
        <f t="shared" si="0"/>
        <v>"FinalMistake.49130a"</v>
      </c>
      <c r="F27" t="str">
        <f t="shared" si="1"/>
        <v>235730</v>
      </c>
      <c r="H27" t="str">
        <v>"ObscuringFog.50e716"</v>
      </c>
      <c r="I27" t="str">
        <v>539621</v>
      </c>
      <c r="K27" t="str" cm="1">
        <f t="array" ref="K27">IF(ROW(H27)&gt;=COUNTA(_xlfn._xlws.FILTER(H$3:H$50,H$3:H$50&lt;&gt;""))+2,IF(H27=0,"",H27),H27&amp;",")</f>
        <v>"ObscuringFog.50e716",</v>
      </c>
      <c r="L27" s="4" t="str" cm="1">
        <f t="array" ref="L27">IF(ROW(I27)&gt;=COUNTA(_xlfn._xlws.FILTER(I$3:I$50,I$3:I$50&lt;&gt;""))+2,IF(I27=0,"",I27),I27&amp;",")</f>
        <v>539621,</v>
      </c>
    </row>
    <row r="28" spans="2:12" x14ac:dyDescent="0.25">
      <c r="B28" s="1" t="s">
        <v>35</v>
      </c>
      <c r="C28" s="1" t="s">
        <v>48</v>
      </c>
      <c r="E28" t="str">
        <f t="shared" si="0"/>
        <v>"BroodofYig.dfc63f"</v>
      </c>
      <c r="F28" t="str">
        <f t="shared" si="1"/>
        <v>235725</v>
      </c>
      <c r="H28" t="str">
        <v>"ObscuringFog.c4ce76"</v>
      </c>
      <c r="I28" t="str">
        <v>539621</v>
      </c>
      <c r="K28" t="str" cm="1">
        <f t="array" ref="K28">IF(ROW(H28)&gt;=COUNTA(_xlfn._xlws.FILTER(H$3:H$50,H$3:H$50&lt;&gt;""))+2,IF(H28=0,"",H28),H28&amp;",")</f>
        <v>"ObscuringFog.c4ce76",</v>
      </c>
      <c r="L28" s="4" t="str" cm="1">
        <f t="array" ref="L28">IF(ROW(I28)&gt;=COUNTA(_xlfn._xlws.FILTER(I$3:I$50,I$3:I$50&lt;&gt;""))+2,IF(I28=0,"",I28),I28&amp;",")</f>
        <v>539621,</v>
      </c>
    </row>
    <row r="29" spans="2:12" x14ac:dyDescent="0.25">
      <c r="B29" s="1" t="s">
        <v>36</v>
      </c>
      <c r="C29" s="1" t="s">
        <v>54</v>
      </c>
      <c r="E29" t="str">
        <f t="shared" si="0"/>
        <v>"SerpentfromYoth.716be4"</v>
      </c>
      <c r="F29" t="str">
        <f t="shared" si="1"/>
        <v>235726</v>
      </c>
      <c r="H29" t="str">
        <v>"SerpentfromYoth.716be4"</v>
      </c>
      <c r="I29" t="str">
        <v>235726</v>
      </c>
      <c r="K29" t="str" cm="1">
        <f t="array" ref="K29">IF(ROW(H29)&gt;=COUNTA(_xlfn._xlws.FILTER(H$3:H$50,H$3:H$50&lt;&gt;""))+2,IF(H29=0,"",H29),H29&amp;",")</f>
        <v>"SerpentfromYoth.716be4",</v>
      </c>
      <c r="L29" s="4" t="str" cm="1">
        <f t="array" ref="L29">IF(ROW(I29)&gt;=COUNTA(_xlfn._xlws.FILTER(I$3:I$50,I$3:I$50&lt;&gt;""))+2,IF(I29=0,"",I29),I29&amp;",")</f>
        <v>235726,</v>
      </c>
    </row>
    <row r="30" spans="2:12" x14ac:dyDescent="0.25">
      <c r="B30" s="1" t="s">
        <v>37</v>
      </c>
      <c r="C30" s="1" t="s">
        <v>55</v>
      </c>
      <c r="E30" t="str">
        <f t="shared" si="0"/>
        <v>"DeepDark.89b67a"</v>
      </c>
      <c r="F30" t="str">
        <f t="shared" si="1"/>
        <v>235736</v>
      </c>
      <c r="H30" t="str">
        <v>"SerpentGuardian.b19e11"</v>
      </c>
      <c r="I30" t="str">
        <v>231633</v>
      </c>
      <c r="K30" t="str" cm="1">
        <f t="array" ref="K30">IF(ROW(H30)&gt;=COUNTA(_xlfn._xlws.FILTER(H$3:H$50,H$3:H$50&lt;&gt;""))+2,IF(H30=0,"",H30),H30&amp;",")</f>
        <v>"SerpentGuardian.b19e11",</v>
      </c>
      <c r="L30" s="4" t="str" cm="1">
        <f t="array" ref="L30">IF(ROW(I30)&gt;=COUNTA(_xlfn._xlws.FILTER(I$3:I$50,I$3:I$50&lt;&gt;""))+2,IF(I30=0,"",I30),I30&amp;",")</f>
        <v>231633,</v>
      </c>
    </row>
    <row r="31" spans="2:12" x14ac:dyDescent="0.25">
      <c r="B31" s="1" t="s">
        <v>38</v>
      </c>
      <c r="C31" s="1" t="s">
        <v>56</v>
      </c>
      <c r="E31" t="str">
        <f t="shared" si="0"/>
        <v>"WrathofYig.89bea8"</v>
      </c>
      <c r="F31" t="str">
        <f t="shared" si="1"/>
        <v>231634</v>
      </c>
      <c r="H31" t="str">
        <v>"TindalosAlpha.0a36d5"</v>
      </c>
      <c r="I31" t="str">
        <v>231631</v>
      </c>
      <c r="K31" t="str" cm="1">
        <f t="array" ref="K31">IF(ROW(H31)&gt;=COUNTA(_xlfn._xlws.FILTER(H$3:H$50,H$3:H$50&lt;&gt;""))+2,IF(H31=0,"",H31),H31&amp;",")</f>
        <v>"TindalosAlpha.0a36d5",</v>
      </c>
      <c r="L31" s="4" t="str" cm="1">
        <f t="array" ref="L31">IF(ROW(I31)&gt;=COUNTA(_xlfn._xlws.FILTER(I$3:I$50,I$3:I$50&lt;&gt;""))+2,IF(I31=0,"",I31),I31&amp;",")</f>
        <v>231631,</v>
      </c>
    </row>
    <row r="32" spans="2:12" x14ac:dyDescent="0.25">
      <c r="B32" s="1" t="s">
        <v>13</v>
      </c>
      <c r="C32" s="1" t="s">
        <v>14</v>
      </c>
      <c r="E32" t="str">
        <f t="shared" si="0"/>
        <v>"CreepingPoison.3ae801"</v>
      </c>
      <c r="F32" t="str">
        <f t="shared" si="1"/>
        <v>235743</v>
      </c>
      <c r="H32" t="str">
        <v>"TindalosAlpha.860c49"</v>
      </c>
      <c r="I32" t="str">
        <v>231631</v>
      </c>
      <c r="K32" t="str" cm="1">
        <f t="array" ref="K32">IF(ROW(H32)&gt;=COUNTA(_xlfn._xlws.FILTER(H$3:H$50,H$3:H$50&lt;&gt;""))+2,IF(H32=0,"",H32),H32&amp;",")</f>
        <v>"TindalosAlpha.860c49",</v>
      </c>
      <c r="L32" s="4" t="str" cm="1">
        <f t="array" ref="L32">IF(ROW(I32)&gt;=COUNTA(_xlfn._xlws.FILTER(I$3:I$50,I$3:I$50&lt;&gt;""))+2,IF(I32=0,"",I32),I32&amp;",")</f>
        <v>231631,</v>
      </c>
    </row>
    <row r="33" spans="2:12" x14ac:dyDescent="0.25">
      <c r="B33" s="1" t="s">
        <v>6</v>
      </c>
      <c r="C33" s="1" t="s">
        <v>46</v>
      </c>
      <c r="E33" t="str">
        <f t="shared" si="0"/>
        <v>"ObscuringFog.c4ce76"</v>
      </c>
      <c r="F33" t="str">
        <f t="shared" si="1"/>
        <v>539621</v>
      </c>
      <c r="H33" t="str">
        <v>"VengefulSerpent.763aba"</v>
      </c>
      <c r="I33" t="str">
        <v>231632</v>
      </c>
      <c r="K33" t="str" cm="1">
        <f t="array" ref="K33">IF(ROW(H33)&gt;=COUNTA(_xlfn._xlws.FILTER(H$3:H$50,H$3:H$50&lt;&gt;""))+2,IF(H33=0,"",H33),H33&amp;",")</f>
        <v>"VengefulSerpent.763aba",</v>
      </c>
      <c r="L33" s="4" t="str" cm="1">
        <f t="array" ref="L33">IF(ROW(I33)&gt;=COUNTA(_xlfn._xlws.FILTER(I$3:I$50,I$3:I$50&lt;&gt;""))+2,IF(I33=0,"",I33),I33&amp;",")</f>
        <v>231632,</v>
      </c>
    </row>
    <row r="34" spans="2:12" x14ac:dyDescent="0.25">
      <c r="B34" s="1" t="s">
        <v>39</v>
      </c>
      <c r="C34" s="1" t="s">
        <v>55</v>
      </c>
      <c r="E34" t="str">
        <f t="shared" si="0"/>
        <v>"DeepDark.7b221b"</v>
      </c>
      <c r="F34" t="str">
        <f t="shared" si="1"/>
        <v>235736</v>
      </c>
      <c r="H34" t="str">
        <v>"VengefulSerpent.e8035e"</v>
      </c>
      <c r="I34" t="str">
        <v>231632</v>
      </c>
      <c r="K34" t="str" cm="1">
        <f t="array" ref="K34">IF(ROW(H34)&gt;=COUNTA(_xlfn._xlws.FILTER(H$3:H$50,H$3:H$50&lt;&gt;""))+2,IF(H34=0,"",H34),H34&amp;",")</f>
        <v>"VengefulSerpent.e8035e",</v>
      </c>
      <c r="L34" s="4" t="str" cm="1">
        <f t="array" ref="L34">IF(ROW(I34)&gt;=COUNTA(_xlfn._xlws.FILTER(I$3:I$50,I$3:I$50&lt;&gt;""))+2,IF(I34=0,"",I34),I34&amp;",")</f>
        <v>231632,</v>
      </c>
    </row>
    <row r="35" spans="2:12" x14ac:dyDescent="0.25">
      <c r="B35" s="1" t="s">
        <v>37</v>
      </c>
      <c r="C35" s="1" t="s">
        <v>55</v>
      </c>
      <c r="E35" t="str">
        <f t="shared" si="0"/>
        <v>"DeepDark.89b67a"</v>
      </c>
      <c r="F35" t="str">
        <f t="shared" si="1"/>
        <v>235736</v>
      </c>
      <c r="H35" t="str">
        <v>"VengefulSerpent.f7e0b4"</v>
      </c>
      <c r="I35" t="str">
        <v>231632</v>
      </c>
      <c r="K35" t="str" cm="1">
        <f t="array" ref="K35">IF(ROW(H35)&gt;=COUNTA(_xlfn._xlws.FILTER(H$3:H$50,H$3:H$50&lt;&gt;""))+2,IF(H35=0,"",H35),H35&amp;",")</f>
        <v>"VengefulSerpent.f7e0b4",</v>
      </c>
      <c r="L35" s="4" t="str" cm="1">
        <f t="array" ref="L35">IF(ROW(I35)&gt;=COUNTA(_xlfn._xlws.FILTER(I$3:I$50,I$3:I$50&lt;&gt;""))+2,IF(I35=0,"",I35),I35&amp;",")</f>
        <v>231632,</v>
      </c>
    </row>
    <row r="36" spans="2:12" x14ac:dyDescent="0.25">
      <c r="B36" s="1" t="s">
        <v>40</v>
      </c>
      <c r="C36" s="1" t="s">
        <v>57</v>
      </c>
      <c r="E36" t="str">
        <f t="shared" si="0"/>
        <v>"AncestralFear.efad2a"</v>
      </c>
      <c r="F36" t="str">
        <f t="shared" si="1"/>
        <v>235735</v>
      </c>
      <c r="H36" t="str">
        <v>"WrathofYig.89bea8"</v>
      </c>
      <c r="I36" t="str">
        <v>231634</v>
      </c>
      <c r="K36" t="str" cm="1">
        <f t="array" ref="K36">IF(ROW(H36)&gt;=COUNTA(_xlfn._xlws.FILTER(H$3:H$50,H$3:H$50&lt;&gt;""))+2,IF(H36=0,"",H36),H36&amp;",")</f>
        <v>"WrathofYig.89bea8"</v>
      </c>
      <c r="L36" s="4" t="str" cm="1">
        <f t="array" ref="L36">IF(ROW(I36)&gt;=COUNTA(_xlfn._xlws.FILTER(I$3:I$50,I$3:I$50&lt;&gt;""))+2,IF(I36=0,"",I36),I36&amp;",")</f>
        <v>231634</v>
      </c>
    </row>
    <row r="37" spans="2:12" x14ac:dyDescent="0.25">
      <c r="B37" s="1"/>
      <c r="C37" s="1"/>
      <c r="E37" t="str">
        <f t="shared" si="0"/>
        <v/>
      </c>
      <c r="F37" t="str">
        <f t="shared" si="1"/>
        <v/>
      </c>
      <c r="K37" t="str" cm="1">
        <f t="array" ref="K37">IF(ROW(H37)&gt;=COUNTA(_xlfn._xlws.FILTER(H$3:H$50,H$3:H$50&lt;&gt;""))+2,IF(H37=0,"",H37),H37&amp;",")</f>
        <v/>
      </c>
      <c r="L37" t="str" cm="1">
        <f t="array" ref="L37">IF(ROW(I37)&gt;=COUNTA(_xlfn._xlws.FILTER(I$3:I$50,I$3:I$50&lt;&gt;""))+2,IF(I37=0,"",I37),I37&amp;",")</f>
        <v/>
      </c>
    </row>
    <row r="38" spans="2:12" x14ac:dyDescent="0.25">
      <c r="B38" s="1"/>
      <c r="C38" s="1"/>
      <c r="E38" t="str">
        <f t="shared" si="0"/>
        <v/>
      </c>
      <c r="F38" t="str">
        <f t="shared" si="1"/>
        <v/>
      </c>
      <c r="K38" t="str" cm="1">
        <f t="array" ref="K38">IF(ROW(H38)&gt;=COUNTA(_xlfn._xlws.FILTER(H$3:H$50,H$3:H$50&lt;&gt;""))+2,IF(H38=0,"",H38),H38&amp;",")</f>
        <v/>
      </c>
      <c r="L38" t="str" cm="1">
        <f t="array" ref="L38">IF(ROW(I38)&gt;=COUNTA(_xlfn._xlws.FILTER(I$3:I$50,I$3:I$50&lt;&gt;""))+2,IF(I38=0,"",I38),I38&amp;",")</f>
        <v/>
      </c>
    </row>
    <row r="39" spans="2:12" x14ac:dyDescent="0.25">
      <c r="B39" s="1"/>
      <c r="C39" s="1"/>
      <c r="E39" t="str">
        <f t="shared" si="0"/>
        <v/>
      </c>
      <c r="F39" t="str">
        <f t="shared" si="1"/>
        <v/>
      </c>
      <c r="K39" t="str" cm="1">
        <f t="array" ref="K39">IF(ROW(H39)&gt;=COUNTA(_xlfn._xlws.FILTER(H$3:H$50,H$3:H$50&lt;&gt;""))+2,IF(H39=0,"",H39),H39&amp;",")</f>
        <v/>
      </c>
      <c r="L39" t="str" cm="1">
        <f t="array" ref="L39">IF(ROW(I39)&gt;=COUNTA(_xlfn._xlws.FILTER(I$3:I$50,I$3:I$50&lt;&gt;""))+2,IF(I39=0,"",I39),I39&amp;",")</f>
        <v/>
      </c>
    </row>
    <row r="40" spans="2:12" x14ac:dyDescent="0.25">
      <c r="B40" s="1"/>
      <c r="C40" s="1"/>
      <c r="E40" t="str">
        <f t="shared" si="0"/>
        <v/>
      </c>
      <c r="F40" t="str">
        <f t="shared" si="1"/>
        <v/>
      </c>
      <c r="K40" t="str" cm="1">
        <f t="array" ref="K40">IF(ROW(H40)&gt;=COUNTA(_xlfn._xlws.FILTER(H$3:H$50,H$3:H$50&lt;&gt;""))+2,IF(H40=0,"",H40),H40&amp;",")</f>
        <v/>
      </c>
      <c r="L40" t="str" cm="1">
        <f t="array" ref="L40">IF(ROW(I40)&gt;=COUNTA(_xlfn._xlws.FILTER(I$3:I$50,I$3:I$50&lt;&gt;""))+2,IF(I40=0,"",I40),I40&amp;",")</f>
        <v/>
      </c>
    </row>
    <row r="41" spans="2:12" x14ac:dyDescent="0.25">
      <c r="E41" t="str">
        <f t="shared" si="0"/>
        <v/>
      </c>
      <c r="F41" t="str">
        <f t="shared" si="1"/>
        <v/>
      </c>
      <c r="K41" t="str" cm="1">
        <f t="array" ref="K41">IF(ROW(H41)&gt;=COUNTA(_xlfn._xlws.FILTER(H$3:H$50,H$3:H$50&lt;&gt;""))+2,IF(H41=0,"",H41),H41&amp;",")</f>
        <v/>
      </c>
      <c r="L41" t="str" cm="1">
        <f t="array" ref="L41">IF(ROW(I41)&gt;=COUNTA(_xlfn._xlws.FILTER(I$3:I$50,I$3:I$50&lt;&gt;""))+2,IF(I41=0,"",I41),I41&amp;",")</f>
        <v/>
      </c>
    </row>
    <row r="42" spans="2:12" x14ac:dyDescent="0.25">
      <c r="E42" t="str">
        <f t="shared" si="0"/>
        <v/>
      </c>
      <c r="F42" t="str">
        <f t="shared" si="1"/>
        <v/>
      </c>
      <c r="K42" t="str" cm="1">
        <f t="array" ref="K42">IF(ROW(H42)&gt;=COUNTA(_xlfn._xlws.FILTER(H$3:H$50,H$3:H$50&lt;&gt;""))+2,IF(H42=0,"",H42),H42&amp;",")</f>
        <v/>
      </c>
      <c r="L42" t="str" cm="1">
        <f t="array" ref="L42">IF(ROW(I42)&gt;=COUNTA(_xlfn._xlws.FILTER(I$3:I$50,I$3:I$50&lt;&gt;""))+2,IF(I42=0,"",I42),I42&amp;",")</f>
        <v/>
      </c>
    </row>
    <row r="43" spans="2:12" x14ac:dyDescent="0.25">
      <c r="E43" t="str">
        <f t="shared" si="0"/>
        <v/>
      </c>
      <c r="F43" t="str">
        <f t="shared" si="1"/>
        <v/>
      </c>
      <c r="K43" t="str" cm="1">
        <f t="array" ref="K43">IF(ROW(H43)&gt;=COUNTA(_xlfn._xlws.FILTER(H$3:H$50,H$3:H$50&lt;&gt;""))+2,IF(H43=0,"",H43),H43&amp;",")</f>
        <v/>
      </c>
      <c r="L43" t="str" cm="1">
        <f t="array" ref="L43">IF(ROW(I43)&gt;=COUNTA(_xlfn._xlws.FILTER(I$3:I$50,I$3:I$50&lt;&gt;""))+2,IF(I43=0,"",I43),I43&amp;",")</f>
        <v/>
      </c>
    </row>
    <row r="44" spans="2:12" x14ac:dyDescent="0.25">
      <c r="E44" t="str">
        <f t="shared" si="0"/>
        <v/>
      </c>
      <c r="F44" t="str">
        <f t="shared" si="1"/>
        <v/>
      </c>
      <c r="K44" t="str" cm="1">
        <f t="array" ref="K44">IF(ROW(H44)&gt;=COUNTA(_xlfn._xlws.FILTER(H$3:H$50,H$3:H$50&lt;&gt;""))+2,IF(H44=0,"",H44),H44&amp;",")</f>
        <v/>
      </c>
      <c r="L44" t="str" cm="1">
        <f t="array" ref="L44">IF(ROW(I44)&gt;=COUNTA(_xlfn._xlws.FILTER(I$3:I$50,I$3:I$50&lt;&gt;""))+2,IF(I44=0,"",I44),I44&amp;",")</f>
        <v/>
      </c>
    </row>
    <row r="45" spans="2:12" x14ac:dyDescent="0.25">
      <c r="E45" t="str">
        <f t="shared" si="0"/>
        <v/>
      </c>
      <c r="F45" t="str">
        <f t="shared" si="1"/>
        <v/>
      </c>
      <c r="K45" t="str" cm="1">
        <f t="array" ref="K45">IF(ROW(H45)&gt;=COUNTA(_xlfn._xlws.FILTER(H$3:H$50,H$3:H$50&lt;&gt;""))+2,IF(H45=0,"",H45),H45&amp;",")</f>
        <v/>
      </c>
      <c r="L45" t="str" cm="1">
        <f t="array" ref="L45">IF(ROW(I45)&gt;=COUNTA(_xlfn._xlws.FILTER(I$3:I$50,I$3:I$50&lt;&gt;""))+2,IF(I45=0,"",I45),I45&amp;",")</f>
        <v/>
      </c>
    </row>
    <row r="46" spans="2:12" x14ac:dyDescent="0.25">
      <c r="E46" t="str">
        <f t="shared" si="0"/>
        <v/>
      </c>
      <c r="F46" t="str">
        <f t="shared" si="1"/>
        <v/>
      </c>
      <c r="K46" t="str" cm="1">
        <f t="array" ref="K46">IF(ROW(H46)&gt;=COUNTA(_xlfn._xlws.FILTER(H$3:H$50,H$3:H$50&lt;&gt;""))+2,IF(H46=0,"",H46),H46&amp;",")</f>
        <v/>
      </c>
      <c r="L46" t="str" cm="1">
        <f t="array" ref="L46">IF(ROW(I46)&gt;=COUNTA(_xlfn._xlws.FILTER(I$3:I$50,I$3:I$50&lt;&gt;""))+2,IF(I46=0,"",I46),I46&amp;",")</f>
        <v/>
      </c>
    </row>
    <row r="47" spans="2:12" x14ac:dyDescent="0.25">
      <c r="E47" t="str">
        <f t="shared" si="0"/>
        <v/>
      </c>
      <c r="F47" t="str">
        <f t="shared" si="1"/>
        <v/>
      </c>
      <c r="K47" t="str" cm="1">
        <f t="array" ref="K47">IF(ROW(H47)&gt;=COUNTA(_xlfn._xlws.FILTER(H$3:H$50,H$3:H$50&lt;&gt;""))+2,IF(H47=0,"",H47),H47&amp;",")</f>
        <v/>
      </c>
      <c r="L47" t="str" cm="1">
        <f t="array" ref="L47">IF(ROW(I47)&gt;=COUNTA(_xlfn._xlws.FILTER(I$3:I$50,I$3:I$50&lt;&gt;""))+2,IF(I47=0,"",I47),I47&amp;",")</f>
        <v/>
      </c>
    </row>
    <row r="48" spans="2:12" x14ac:dyDescent="0.25">
      <c r="E48" t="str">
        <f t="shared" si="0"/>
        <v/>
      </c>
      <c r="F48" t="str">
        <f t="shared" si="1"/>
        <v/>
      </c>
      <c r="K48" t="str" cm="1">
        <f t="array" ref="K48">IF(ROW(H48)&gt;=COUNTA(_xlfn._xlws.FILTER(H$3:H$50,H$3:H$50&lt;&gt;""))+2,IF(H48=0,"",H48),H48&amp;",")</f>
        <v/>
      </c>
      <c r="L48" t="str" cm="1">
        <f t="array" ref="L48">IF(ROW(I48)&gt;=COUNTA(_xlfn._xlws.FILTER(I$3:I$50,I$3:I$50&lt;&gt;""))+2,IF(I48=0,"",I48),I48&amp;",")</f>
        <v/>
      </c>
    </row>
    <row r="49" spans="5:12" x14ac:dyDescent="0.25">
      <c r="E49" t="str">
        <f t="shared" si="0"/>
        <v/>
      </c>
      <c r="F49" t="str">
        <f t="shared" si="1"/>
        <v/>
      </c>
      <c r="K49" t="str" cm="1">
        <f t="array" ref="K49">IF(ROW(H49)&gt;=COUNTA(_xlfn._xlws.FILTER(H$3:H$50,H$3:H$50&lt;&gt;""))+2,IF(H49=0,"",H49),H49&amp;",")</f>
        <v/>
      </c>
      <c r="L49" t="str" cm="1">
        <f t="array" ref="L49">IF(ROW(I49)&gt;=COUNTA(_xlfn._xlws.FILTER(I$3:I$50,I$3:I$50&lt;&gt;""))+2,IF(I49=0,"",I49),I49&amp;",")</f>
        <v/>
      </c>
    </row>
    <row r="50" spans="5:12" x14ac:dyDescent="0.25">
      <c r="E50" t="str">
        <f t="shared" si="0"/>
        <v/>
      </c>
      <c r="F50" t="str">
        <f t="shared" si="1"/>
        <v/>
      </c>
      <c r="K50" t="str" cm="1">
        <f t="array" ref="K50">IF(ROW(H50)&gt;=COUNTA(_xlfn._xlws.FILTER(H$3:H$50,H$3:H$50&lt;&gt;""))+2,IF(H50=0,"",H50),H50&amp;",")</f>
        <v/>
      </c>
      <c r="L50" t="str" cm="1">
        <f t="array" ref="L50">IF(ROW(I50)&gt;=COUNTA(_xlfn._xlws.FILTER(I$3:I$50,I$3:I$50&lt;&gt;""))+2,IF(I50=0,"",I50),I50&amp;",")</f>
        <v/>
      </c>
    </row>
  </sheetData>
  <pageMargins left="0.7" right="0.7" top="0.78740157499999996" bottom="0.78740157499999996" header="0.3" footer="0.3"/>
  <pageSetup paperSize="12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ForColumnK">
                <anchor moveWithCells="1" sizeWithCells="1">
                  <from>
                    <xdr:col>10</xdr:col>
                    <xdr:colOff>200025</xdr:colOff>
                    <xdr:row>0</xdr:row>
                    <xdr:rowOff>133350</xdr:rowOff>
                  </from>
                  <to>
                    <xdr:col>10</xdr:col>
                    <xdr:colOff>2362200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ForColumnL">
                <anchor moveWithCells="1" sizeWithCells="1">
                  <from>
                    <xdr:col>10</xdr:col>
                    <xdr:colOff>3038475</xdr:colOff>
                    <xdr:row>0</xdr:row>
                    <xdr:rowOff>142875</xdr:rowOff>
                  </from>
                  <to>
                    <xdr:col>11</xdr:col>
                    <xdr:colOff>800100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Puls</dc:creator>
  <cp:lastModifiedBy>Christian Puls</cp:lastModifiedBy>
  <dcterms:created xsi:type="dcterms:W3CDTF">2024-10-05T12:24:58Z</dcterms:created>
  <dcterms:modified xsi:type="dcterms:W3CDTF">2024-10-11T10:06:38Z</dcterms:modified>
</cp:coreProperties>
</file>